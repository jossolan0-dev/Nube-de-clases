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e Solano\Documents\snakebet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D9" i="1"/>
  <c r="D3" i="1"/>
</calcChain>
</file>

<file path=xl/sharedStrings.xml><?xml version="1.0" encoding="utf-8"?>
<sst xmlns="http://schemas.openxmlformats.org/spreadsheetml/2006/main" count="18" uniqueCount="18">
  <si>
    <t>Fecha de inicio</t>
  </si>
  <si>
    <t>Fecha de cierre</t>
  </si>
  <si>
    <t>Lapso de Tiempo</t>
  </si>
  <si>
    <t>Función</t>
  </si>
  <si>
    <t>A.1 Gestion de clientes</t>
  </si>
  <si>
    <t>A.2 Gestion de proveedores</t>
  </si>
  <si>
    <t>A.3 Gestion de productos</t>
  </si>
  <si>
    <t>A.4 Gestion de ventas</t>
  </si>
  <si>
    <t>A.5 Gestion de ordenes de compra</t>
  </si>
  <si>
    <t>A. Módulo 1: Entrada de datos</t>
  </si>
  <si>
    <t>B. Modulo 2: Procesamiento</t>
  </si>
  <si>
    <t>B.1 Control de inventario</t>
  </si>
  <si>
    <t>B.2 Gestion de credito</t>
  </si>
  <si>
    <t>B.3 Motor de reportes</t>
  </si>
  <si>
    <t>C. Refinamiento del Módulo 3: Salida de Datos</t>
  </si>
  <si>
    <t>C.1 Generador de listados</t>
  </si>
  <si>
    <t>C.2 Generador de reportes de inventario</t>
  </si>
  <si>
    <t>C.3 Generador de reportes financieros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</si>
</sst>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Hoja1!$C$2</c:f>
              <c:strCache>
                <c:ptCount val="1"/>
                <c:pt idx="0">
                  <c:v>Fecha de 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Hoja1!$C$3:$C$17</c:f>
              <c:numCache>
                <c:formatCode>m/d/yyyy</c:formatCode>
                <c:ptCount val="15"/>
                <c:pt idx="0">
                  <c:v>46255</c:v>
                </c:pt>
                <c:pt idx="1">
                  <c:v>46255</c:v>
                </c:pt>
                <c:pt idx="2">
                  <c:v>46255</c:v>
                </c:pt>
                <c:pt idx="3">
                  <c:v>46255</c:v>
                </c:pt>
                <c:pt idx="4">
                  <c:v>46263</c:v>
                </c:pt>
                <c:pt idx="5">
                  <c:v>46278</c:v>
                </c:pt>
                <c:pt idx="6">
                  <c:v>46284</c:v>
                </c:pt>
                <c:pt idx="7">
                  <c:v>46284</c:v>
                </c:pt>
                <c:pt idx="8">
                  <c:v>46299</c:v>
                </c:pt>
                <c:pt idx="9">
                  <c:v>46307</c:v>
                </c:pt>
                <c:pt idx="10">
                  <c:v>46315</c:v>
                </c:pt>
                <c:pt idx="11">
                  <c:v>46315</c:v>
                </c:pt>
                <c:pt idx="12">
                  <c:v>46319</c:v>
                </c:pt>
                <c:pt idx="13">
                  <c:v>46322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4D-47AF-A711-2D22172A7764}"/>
            </c:ext>
          </c:extLst>
        </c:ser>
        <c:ser>
          <c:idx val="1"/>
          <c:order val="1"/>
          <c:tx>
            <c:strRef>
              <c:f>Hoja1!$D$2</c:f>
              <c:strCache>
                <c:ptCount val="1"/>
                <c:pt idx="0">
                  <c:v>Lapso de Tiempo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Hoja1!$D$3:$D$17</c:f>
              <c:numCache>
                <c:formatCode>General</c:formatCode>
                <c:ptCount val="15"/>
                <c:pt idx="0">
                  <c:v>28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14</c:v>
                </c:pt>
                <c:pt idx="5">
                  <c:v>7</c:v>
                </c:pt>
                <c:pt idx="6">
                  <c:v>28</c:v>
                </c:pt>
                <c:pt idx="7">
                  <c:v>14</c:v>
                </c:pt>
                <c:pt idx="8">
                  <c:v>7</c:v>
                </c:pt>
                <c:pt idx="9">
                  <c:v>7</c:v>
                </c:pt>
                <c:pt idx="10">
                  <c:v>10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4D-47AF-A711-2D22172A7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1173392"/>
        <c:axId val="421169784"/>
      </c:barChart>
      <c:catAx>
        <c:axId val="421173392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169784"/>
        <c:crosses val="autoZero"/>
        <c:auto val="1"/>
        <c:lblAlgn val="ctr"/>
        <c:lblOffset val="100"/>
        <c:noMultiLvlLbl val="0"/>
      </c:catAx>
      <c:valAx>
        <c:axId val="421169784"/>
        <c:scaling>
          <c:orientation val="minMax"/>
          <c:min val="4625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17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47624</xdr:colOff>
      <xdr:row>0</xdr:row>
      <xdr:rowOff>0</xdr:rowOff>
    </xdr:from>
    <xdr:to>
      <xdr:col>16</xdr:col>
      <xdr:colOff>180975</xdr:colOff>
      <xdr:row>19</xdr:row>
      <xdr:rowOff>19050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6"/>
  <sheetViews>
    <sheetView tabSelected="1" topLeftCell="C1" zoomScale="87" workbookViewId="0">
      <selection activeCell="C2" sqref="C2:D17"/>
    </sheetView>
  </sheetViews>
  <sheetFormatPr baseColWidth="10" defaultRowHeight="15" x14ac:dyDescent="0.25"/>
  <cols>
    <col min="2" max="2" width="45.140625" customWidth="1"/>
    <col min="3" max="3" width="14.5703125" customWidth="1"/>
    <col min="4" max="4" width="16" customWidth="1"/>
    <col min="5" max="5" width="17.5703125" customWidth="1"/>
  </cols>
  <sheetData>
    <row r="2" spans="2:5" x14ac:dyDescent="0.25">
      <c r="B2" s="1" t="s">
        <v>3</v>
      </c>
      <c r="C2" s="1" t="s">
        <v>0</v>
      </c>
      <c r="D2" s="1" t="s">
        <v>2</v>
      </c>
      <c r="E2" s="1" t="s">
        <v>1</v>
      </c>
    </row>
    <row r="3" spans="2:5" x14ac:dyDescent="0.25">
      <c r="B3" s="1" t="s">
        <v>9</v>
      </c>
      <c r="C3" s="4">
        <v>46255</v>
      </c>
      <c r="D3" s="1">
        <f>SUM(D7:D8,D6)</f>
        <v>28</v>
      </c>
      <c r="E3" s="4">
        <v>46283</v>
      </c>
    </row>
    <row r="4" spans="2:5" x14ac:dyDescent="0.25">
      <c r="B4" s="3" t="s">
        <v>4</v>
      </c>
      <c r="C4" s="2">
        <v>46255</v>
      </c>
      <c r="D4">
        <v>7</v>
      </c>
      <c r="E4" s="2">
        <v>46262</v>
      </c>
    </row>
    <row r="5" spans="2:5" x14ac:dyDescent="0.25">
      <c r="B5" s="3" t="s">
        <v>5</v>
      </c>
      <c r="C5" s="2">
        <v>46255</v>
      </c>
      <c r="D5">
        <v>7</v>
      </c>
      <c r="E5" s="2">
        <v>46262</v>
      </c>
    </row>
    <row r="6" spans="2:5" x14ac:dyDescent="0.25">
      <c r="B6" s="3" t="s">
        <v>6</v>
      </c>
      <c r="C6" s="2">
        <v>46255</v>
      </c>
      <c r="D6">
        <v>7</v>
      </c>
      <c r="E6" s="2">
        <v>46262</v>
      </c>
    </row>
    <row r="7" spans="2:5" x14ac:dyDescent="0.25">
      <c r="B7" s="3" t="s">
        <v>7</v>
      </c>
      <c r="C7" s="2">
        <v>46263</v>
      </c>
      <c r="D7">
        <v>14</v>
      </c>
      <c r="E7" s="2">
        <v>46277</v>
      </c>
    </row>
    <row r="8" spans="2:5" x14ac:dyDescent="0.25">
      <c r="B8" s="3" t="s">
        <v>8</v>
      </c>
      <c r="C8" s="2">
        <v>46278</v>
      </c>
      <c r="D8">
        <v>7</v>
      </c>
      <c r="E8" s="2">
        <v>46283</v>
      </c>
    </row>
    <row r="9" spans="2:5" x14ac:dyDescent="0.25">
      <c r="B9" s="1" t="s">
        <v>10</v>
      </c>
      <c r="C9" s="4">
        <v>46284</v>
      </c>
      <c r="D9" s="1">
        <f>SUM(D10:D12)</f>
        <v>28</v>
      </c>
      <c r="E9" s="4">
        <v>46312</v>
      </c>
    </row>
    <row r="10" spans="2:5" x14ac:dyDescent="0.25">
      <c r="B10" s="3" t="s">
        <v>11</v>
      </c>
      <c r="C10" s="2">
        <v>46284</v>
      </c>
      <c r="D10">
        <v>14</v>
      </c>
      <c r="E10" s="2">
        <v>46298</v>
      </c>
    </row>
    <row r="11" spans="2:5" x14ac:dyDescent="0.25">
      <c r="B11" s="3" t="s">
        <v>12</v>
      </c>
      <c r="C11" s="2">
        <v>46299</v>
      </c>
      <c r="D11">
        <v>7</v>
      </c>
      <c r="E11" s="2">
        <v>46306</v>
      </c>
    </row>
    <row r="12" spans="2:5" x14ac:dyDescent="0.25">
      <c r="B12" s="3" t="s">
        <v>13</v>
      </c>
      <c r="C12" s="2">
        <v>46307</v>
      </c>
      <c r="D12">
        <v>7</v>
      </c>
      <c r="E12" s="2">
        <v>46314</v>
      </c>
    </row>
    <row r="13" spans="2:5" x14ac:dyDescent="0.25">
      <c r="B13" s="1" t="s">
        <v>14</v>
      </c>
      <c r="C13" s="4">
        <v>46315</v>
      </c>
      <c r="D13" s="1">
        <v>10</v>
      </c>
      <c r="E13" s="4">
        <v>46325</v>
      </c>
    </row>
    <row r="14" spans="2:5" x14ac:dyDescent="0.25">
      <c r="B14" s="3" t="s">
        <v>15</v>
      </c>
      <c r="C14" s="2">
        <v>46315</v>
      </c>
      <c r="D14">
        <v>4</v>
      </c>
      <c r="E14" s="2">
        <v>46318</v>
      </c>
    </row>
    <row r="15" spans="2:5" x14ac:dyDescent="0.25">
      <c r="B15" s="3" t="s">
        <v>16</v>
      </c>
      <c r="C15" s="2">
        <v>46319</v>
      </c>
      <c r="D15">
        <v>3</v>
      </c>
      <c r="E15" s="2">
        <v>46321</v>
      </c>
    </row>
    <row r="16" spans="2:5" x14ac:dyDescent="0.25">
      <c r="B16" s="3" t="s">
        <v>17</v>
      </c>
      <c r="C16" s="2">
        <v>46322</v>
      </c>
      <c r="D16">
        <v>3</v>
      </c>
      <c r="E16" s="2">
        <f>E13</f>
        <v>46325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Solano</dc:creator>
  <cp:lastModifiedBy>Jose Solano</cp:lastModifiedBy>
  <dcterms:created xsi:type="dcterms:W3CDTF">2026-08-21T15:30:06Z</dcterms:created>
  <dcterms:modified xsi:type="dcterms:W3CDTF">2026-08-21T16:28:34Z</dcterms:modified>
</cp:coreProperties>
</file>